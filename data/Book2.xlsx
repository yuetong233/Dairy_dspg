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omario_vt_edu/Documents/"/>
    </mc:Choice>
  </mc:AlternateContent>
  <xr:revisionPtr revIDLastSave="0" documentId="8_{F7EC4F5A-D87C-452E-A26A-E86040195A31}" xr6:coauthVersionLast="47" xr6:coauthVersionMax="47" xr10:uidLastSave="{00000000-0000-0000-0000-000000000000}"/>
  <bookViews>
    <workbookView xWindow="30612" yWindow="-108" windowWidth="30936" windowHeight="16776" xr2:uid="{8518F6DF-7D1B-4C92-B53F-C7225F6EA8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X23" i="1" s="1"/>
  <c r="AD23" i="1" s="1"/>
  <c r="AJ23" i="1" s="1"/>
  <c r="R22" i="1"/>
  <c r="X22" i="1" s="1"/>
  <c r="AD22" i="1" s="1"/>
  <c r="AJ22" i="1" s="1"/>
  <c r="R21" i="1"/>
  <c r="X21" i="1" s="1"/>
  <c r="AD21" i="1" s="1"/>
  <c r="AJ21" i="1" s="1"/>
  <c r="R20" i="1"/>
  <c r="X20" i="1" s="1"/>
  <c r="AD20" i="1" s="1"/>
  <c r="AJ20" i="1" s="1"/>
  <c r="R19" i="1"/>
  <c r="X19" i="1" s="1"/>
  <c r="AD19" i="1" s="1"/>
  <c r="AJ19" i="1" s="1"/>
  <c r="R18" i="1"/>
  <c r="X18" i="1" s="1"/>
  <c r="AD18" i="1" s="1"/>
  <c r="AJ18" i="1" s="1"/>
  <c r="R17" i="1"/>
  <c r="X17" i="1" s="1"/>
  <c r="AD17" i="1" s="1"/>
  <c r="AJ17" i="1" s="1"/>
  <c r="R16" i="1"/>
  <c r="X16" i="1" s="1"/>
  <c r="AD16" i="1" s="1"/>
  <c r="AJ16" i="1" s="1"/>
  <c r="R15" i="1"/>
  <c r="X15" i="1" s="1"/>
  <c r="AD15" i="1" s="1"/>
  <c r="AJ15" i="1" s="1"/>
  <c r="R14" i="1"/>
  <c r="Q23" i="1"/>
  <c r="W23" i="1" s="1"/>
  <c r="AC23" i="1" s="1"/>
  <c r="AI23" i="1" s="1"/>
  <c r="Q22" i="1"/>
  <c r="W22" i="1" s="1"/>
  <c r="AC22" i="1" s="1"/>
  <c r="AI22" i="1" s="1"/>
  <c r="Q21" i="1"/>
  <c r="W21" i="1" s="1"/>
  <c r="AC21" i="1" s="1"/>
  <c r="AI21" i="1" s="1"/>
  <c r="Q20" i="1"/>
  <c r="W20" i="1" s="1"/>
  <c r="AC20" i="1" s="1"/>
  <c r="AI20" i="1" s="1"/>
  <c r="Q19" i="1"/>
  <c r="W19" i="1" s="1"/>
  <c r="AC19" i="1" s="1"/>
  <c r="AI19" i="1" s="1"/>
  <c r="Q18" i="1"/>
  <c r="W18" i="1" s="1"/>
  <c r="AC18" i="1" s="1"/>
  <c r="AI18" i="1" s="1"/>
  <c r="Q17" i="1"/>
  <c r="W17" i="1" s="1"/>
  <c r="AC17" i="1" s="1"/>
  <c r="AI17" i="1" s="1"/>
  <c r="Q15" i="1"/>
  <c r="W15" i="1" s="1"/>
  <c r="AC15" i="1" s="1"/>
  <c r="AI15" i="1" s="1"/>
  <c r="Q16" i="1"/>
  <c r="W16" i="1" s="1"/>
  <c r="AC16" i="1" s="1"/>
  <c r="AI16" i="1" s="1"/>
  <c r="Q14" i="1"/>
  <c r="P23" i="1"/>
  <c r="V23" i="1" s="1"/>
  <c r="AB23" i="1" s="1"/>
  <c r="AH23" i="1" s="1"/>
  <c r="P22" i="1"/>
  <c r="V22" i="1" s="1"/>
  <c r="AB22" i="1" s="1"/>
  <c r="AH22" i="1" s="1"/>
  <c r="P21" i="1"/>
  <c r="V21" i="1" s="1"/>
  <c r="AB21" i="1" s="1"/>
  <c r="AH21" i="1" s="1"/>
  <c r="P20" i="1"/>
  <c r="V20" i="1" s="1"/>
  <c r="AB20" i="1" s="1"/>
  <c r="AH20" i="1" s="1"/>
  <c r="P19" i="1"/>
  <c r="V19" i="1" s="1"/>
  <c r="AB19" i="1" s="1"/>
  <c r="AH19" i="1" s="1"/>
  <c r="P18" i="1"/>
  <c r="V18" i="1" s="1"/>
  <c r="AB18" i="1" s="1"/>
  <c r="AH18" i="1" s="1"/>
  <c r="P17" i="1"/>
  <c r="V17" i="1" s="1"/>
  <c r="AB17" i="1" s="1"/>
  <c r="AH17" i="1" s="1"/>
  <c r="P16" i="1"/>
  <c r="V16" i="1" s="1"/>
  <c r="AB16" i="1" s="1"/>
  <c r="AH16" i="1" s="1"/>
  <c r="P15" i="1"/>
  <c r="V15" i="1" s="1"/>
  <c r="AB15" i="1" s="1"/>
  <c r="AH15" i="1" s="1"/>
  <c r="P14" i="1"/>
  <c r="P12" i="1"/>
  <c r="Q12" i="1"/>
  <c r="R12" i="1"/>
  <c r="V12" i="1"/>
  <c r="W12" i="1"/>
  <c r="X12" i="1"/>
  <c r="AB12" i="1"/>
  <c r="AC12" i="1"/>
  <c r="AD12" i="1"/>
  <c r="AH12" i="1"/>
  <c r="AI12" i="1"/>
  <c r="AJ12" i="1"/>
  <c r="V14" i="1"/>
  <c r="W14" i="1"/>
  <c r="X14" i="1"/>
  <c r="AB14" i="1"/>
  <c r="AC14" i="1"/>
  <c r="AD14" i="1"/>
  <c r="AH14" i="1"/>
  <c r="AI14" i="1"/>
  <c r="AJ14" i="1"/>
  <c r="P10" i="1"/>
  <c r="Q10" i="1"/>
  <c r="R10" i="1"/>
  <c r="V10" i="1"/>
  <c r="W10" i="1"/>
  <c r="X10" i="1"/>
  <c r="AB10" i="1"/>
  <c r="AC10" i="1"/>
  <c r="AD10" i="1"/>
  <c r="AH10" i="1"/>
  <c r="AI10" i="1"/>
  <c r="AJ10" i="1"/>
</calcChain>
</file>

<file path=xl/sharedStrings.xml><?xml version="1.0" encoding="utf-8"?>
<sst xmlns="http://schemas.openxmlformats.org/spreadsheetml/2006/main" count="127" uniqueCount="51">
  <si>
    <t>Rockingham</t>
  </si>
  <si>
    <t>Land 1: Cecil Wampler Road, Mount Crawford, VA 22841</t>
  </si>
  <si>
    <t>* above 100 acres</t>
  </si>
  <si>
    <t>Plamt 1:2610 S. Main Street, Harrisonburg</t>
  </si>
  <si>
    <t>&lt;5 miles to main road</t>
  </si>
  <si>
    <t>Diesel Price</t>
  </si>
  <si>
    <t xml:space="preserve">Refrigetated Truck Capacity: </t>
  </si>
  <si>
    <t>Mid Size plant production</t>
  </si>
  <si>
    <t>Clarke</t>
  </si>
  <si>
    <t>Land:</t>
  </si>
  <si>
    <t>N/A</t>
  </si>
  <si>
    <t>miles/galon</t>
  </si>
  <si>
    <t>$/galon</t>
  </si>
  <si>
    <t>gallons/truck</t>
  </si>
  <si>
    <t>gallons per day</t>
  </si>
  <si>
    <t>Plant:</t>
  </si>
  <si>
    <t>days/year</t>
  </si>
  <si>
    <t>Warren</t>
  </si>
  <si>
    <t>Miles</t>
  </si>
  <si>
    <t># of Gallons Needed</t>
  </si>
  <si>
    <t>$ per trip</t>
  </si>
  <si>
    <t>$/gallon (Outbound freight)</t>
  </si>
  <si>
    <t>Rockbridge</t>
  </si>
  <si>
    <t>Augusta</t>
  </si>
  <si>
    <t>VA Beach</t>
  </si>
  <si>
    <t>Richmond</t>
  </si>
  <si>
    <t>Arlington</t>
  </si>
  <si>
    <t>Clarke (Beryville)</t>
  </si>
  <si>
    <t>Page</t>
  </si>
  <si>
    <t>Rockingham (Harrisonburg)</t>
  </si>
  <si>
    <t>Frederick</t>
  </si>
  <si>
    <t>Warren (Front Royal)</t>
  </si>
  <si>
    <t>Pittslyvania</t>
  </si>
  <si>
    <t>Rockbridge (lexington)</t>
  </si>
  <si>
    <t>Franklin</t>
  </si>
  <si>
    <t>Augusta (staunton)</t>
  </si>
  <si>
    <t>Plant: 10671 University Boulevard, Manassas, VA</t>
  </si>
  <si>
    <t>Prince William</t>
  </si>
  <si>
    <t>Page (Luray)</t>
  </si>
  <si>
    <t>Plant: 1754-1800 Oak Lake Blvd, Midlothian</t>
  </si>
  <si>
    <t>Prince William County</t>
  </si>
  <si>
    <t>Chesterfield</t>
  </si>
  <si>
    <t>Land</t>
  </si>
  <si>
    <t>Frederick (Winchester)</t>
  </si>
  <si>
    <t>Chesterfield County</t>
  </si>
  <si>
    <t>Plant</t>
  </si>
  <si>
    <t>Norfolk</t>
  </si>
  <si>
    <t>Pittslyvania (Chatham)</t>
  </si>
  <si>
    <t>Franklin (Rocky Mount)</t>
  </si>
  <si>
    <t>Prince William County (Dale City)</t>
  </si>
  <si>
    <t>Chesterfield County (Chesterfield Courthouse)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</si>
</sst>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([$$-409]* #,##0.00_);_([$$-409]* \(#,##0.00\);_([$$-409]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2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67" fontId="0" fillId="0" borderId="0" xfId="0" applyNumberFormat="1"/>
    <xf numFmtId="167" fontId="0" fillId="0" borderId="0" xfId="1" applyNumberFormat="1" applyFont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2922-6B0A-4D00-A566-EF7700EDF510}">
  <dimension ref="D1:AJ37"/>
  <sheetViews>
    <sheetView tabSelected="1" topLeftCell="E1" zoomScale="160" zoomScaleNormal="160" workbookViewId="0">
      <selection activeCell="M4" sqref="M4"/>
    </sheetView>
  </sheetViews>
  <sheetFormatPr defaultRowHeight="15"/>
  <cols>
    <col min="4" max="4" width="13.5703125" bestFit="1" customWidth="1"/>
    <col min="8" max="8" width="17.28515625" customWidth="1"/>
    <col min="9" max="9" width="41.85546875" bestFit="1" customWidth="1"/>
    <col min="10" max="10" width="8.7109375" bestFit="1" customWidth="1"/>
    <col min="11" max="11" width="10.28515625" bestFit="1" customWidth="1"/>
    <col min="12" max="12" width="8.28515625" bestFit="1" customWidth="1"/>
    <col min="14" max="14" width="11.7109375" bestFit="1" customWidth="1"/>
    <col min="15" max="15" width="20.28515625" bestFit="1" customWidth="1"/>
    <col min="16" max="16" width="11.42578125" bestFit="1" customWidth="1"/>
    <col min="17" max="17" width="10" bestFit="1" customWidth="1"/>
    <col min="18" max="18" width="8.140625" bestFit="1" customWidth="1"/>
    <col min="20" max="20" width="11.7109375" bestFit="1" customWidth="1"/>
    <col min="21" max="21" width="11.140625" bestFit="1" customWidth="1"/>
    <col min="23" max="23" width="10" bestFit="1" customWidth="1"/>
    <col min="26" max="26" width="11.7109375" bestFit="1" customWidth="1"/>
    <col min="27" max="27" width="11.140625" bestFit="1" customWidth="1"/>
    <col min="32" max="32" width="11.7109375" bestFit="1" customWidth="1"/>
    <col min="33" max="33" width="11.140625" bestFit="1" customWidth="1"/>
    <col min="34" max="36" width="12.85546875" bestFit="1" customWidth="1"/>
  </cols>
  <sheetData>
    <row r="1" spans="4:36">
      <c r="D1" s="27" t="s">
        <v>0</v>
      </c>
      <c r="E1" t="s">
        <v>1</v>
      </c>
      <c r="I1" t="s">
        <v>2</v>
      </c>
    </row>
    <row r="2" spans="4:36">
      <c r="D2" s="22"/>
      <c r="E2" t="s">
        <v>3</v>
      </c>
      <c r="I2" t="s">
        <v>4</v>
      </c>
      <c r="V2" t="s">
        <v>5</v>
      </c>
      <c r="AB2" t="s">
        <v>6</v>
      </c>
      <c r="AH2" t="s">
        <v>7</v>
      </c>
    </row>
    <row r="3" spans="4:36">
      <c r="D3" s="28" t="s">
        <v>8</v>
      </c>
      <c r="E3" s="6" t="s">
        <v>9</v>
      </c>
      <c r="F3" s="23" t="s">
        <v>10</v>
      </c>
      <c r="G3" s="24"/>
      <c r="P3">
        <v>5.5</v>
      </c>
      <c r="Q3" t="s">
        <v>11</v>
      </c>
      <c r="V3">
        <v>5</v>
      </c>
      <c r="W3" t="s">
        <v>12</v>
      </c>
      <c r="AC3" s="3">
        <v>6000</v>
      </c>
      <c r="AD3" t="s">
        <v>13</v>
      </c>
      <c r="AH3" s="3">
        <v>10000</v>
      </c>
      <c r="AI3" s="3" t="s">
        <v>14</v>
      </c>
    </row>
    <row r="4" spans="4:36">
      <c r="D4" s="28"/>
      <c r="E4" s="7" t="s">
        <v>15</v>
      </c>
      <c r="F4" s="25"/>
      <c r="G4" s="26"/>
      <c r="AH4">
        <v>340</v>
      </c>
      <c r="AI4" t="s">
        <v>16</v>
      </c>
    </row>
    <row r="5" spans="4:36">
      <c r="D5" s="27" t="s">
        <v>17</v>
      </c>
      <c r="E5" t="s">
        <v>9</v>
      </c>
    </row>
    <row r="6" spans="4:36">
      <c r="D6" s="21"/>
      <c r="E6" t="s">
        <v>15</v>
      </c>
      <c r="I6" s="29" t="s">
        <v>18</v>
      </c>
      <c r="J6" s="29"/>
      <c r="K6" s="29"/>
      <c r="L6" s="29"/>
      <c r="O6" s="29" t="s">
        <v>19</v>
      </c>
      <c r="P6" s="29"/>
      <c r="Q6" s="29"/>
      <c r="R6" s="29"/>
      <c r="U6" s="29" t="s">
        <v>20</v>
      </c>
      <c r="V6" s="29"/>
      <c r="W6" s="29"/>
      <c r="X6" s="29"/>
      <c r="AA6" s="29" t="s">
        <v>21</v>
      </c>
      <c r="AB6" s="29"/>
      <c r="AC6" s="29"/>
      <c r="AD6" s="29"/>
      <c r="AG6" s="29" t="s">
        <v>21</v>
      </c>
      <c r="AH6" s="29"/>
      <c r="AI6" s="29"/>
      <c r="AJ6" s="29"/>
    </row>
    <row r="7" spans="4:36">
      <c r="D7" s="8" t="s">
        <v>22</v>
      </c>
      <c r="E7" t="s">
        <v>9</v>
      </c>
    </row>
    <row r="8" spans="4:36">
      <c r="D8" s="9"/>
      <c r="E8" t="s">
        <v>15</v>
      </c>
    </row>
    <row r="9" spans="4:36">
      <c r="D9" s="10" t="s">
        <v>23</v>
      </c>
      <c r="E9" t="s">
        <v>9</v>
      </c>
      <c r="J9" t="s">
        <v>24</v>
      </c>
      <c r="K9" t="s">
        <v>25</v>
      </c>
      <c r="L9" t="s">
        <v>26</v>
      </c>
      <c r="P9" t="s">
        <v>24</v>
      </c>
      <c r="Q9" t="s">
        <v>25</v>
      </c>
      <c r="R9" t="s">
        <v>26</v>
      </c>
      <c r="V9" t="s">
        <v>24</v>
      </c>
      <c r="W9" t="s">
        <v>25</v>
      </c>
      <c r="X9" t="s">
        <v>26</v>
      </c>
      <c r="AB9" t="s">
        <v>24</v>
      </c>
      <c r="AC9" t="s">
        <v>25</v>
      </c>
      <c r="AD9" t="s">
        <v>26</v>
      </c>
      <c r="AH9" t="s">
        <v>24</v>
      </c>
      <c r="AI9" t="s">
        <v>25</v>
      </c>
      <c r="AJ9" t="s">
        <v>26</v>
      </c>
    </row>
    <row r="10" spans="4:36" ht="14.45" customHeight="1">
      <c r="D10" s="10"/>
      <c r="E10" t="s">
        <v>15</v>
      </c>
      <c r="I10" t="s">
        <v>27</v>
      </c>
      <c r="J10" s="13">
        <v>232</v>
      </c>
      <c r="K10" s="6">
        <v>132</v>
      </c>
      <c r="L10" s="15">
        <v>64</v>
      </c>
      <c r="O10" t="s">
        <v>8</v>
      </c>
      <c r="P10" s="2">
        <f>J10/$P$3</f>
        <v>42.18181818181818</v>
      </c>
      <c r="Q10" s="2">
        <f t="shared" ref="Q10:R10" si="0">K10/$P$3</f>
        <v>24</v>
      </c>
      <c r="R10" s="2">
        <f t="shared" si="0"/>
        <v>11.636363636363637</v>
      </c>
      <c r="U10" t="s">
        <v>8</v>
      </c>
      <c r="V10" s="19">
        <f>P10*$V$3</f>
        <v>210.90909090909091</v>
      </c>
      <c r="W10" s="19">
        <f t="shared" ref="W10:X10" si="1">Q10*$V$3</f>
        <v>120</v>
      </c>
      <c r="X10" s="19">
        <f t="shared" si="1"/>
        <v>58.181818181818187</v>
      </c>
      <c r="AA10" t="s">
        <v>8</v>
      </c>
      <c r="AB10" s="19">
        <f>V10/$AC$3</f>
        <v>3.5151515151515149E-2</v>
      </c>
      <c r="AC10" s="19">
        <f t="shared" ref="AC10:AD10" si="2">W10/$AC$3</f>
        <v>0.02</v>
      </c>
      <c r="AD10" s="19">
        <f t="shared" si="2"/>
        <v>9.6969696969696987E-3</v>
      </c>
      <c r="AG10" t="s">
        <v>8</v>
      </c>
      <c r="AH10" s="20">
        <f>AB10*$AH$3*$AH$4</f>
        <v>119515.15151515151</v>
      </c>
      <c r="AI10" s="20">
        <f t="shared" ref="AI10:AJ10" si="3">AC10*$AH$3*$AH$4</f>
        <v>68000</v>
      </c>
      <c r="AJ10" s="20">
        <f t="shared" si="3"/>
        <v>32969.696969696975</v>
      </c>
    </row>
    <row r="11" spans="4:36" ht="14.45" customHeight="1">
      <c r="D11" s="8" t="s">
        <v>28</v>
      </c>
      <c r="E11" t="s">
        <v>9</v>
      </c>
      <c r="J11" s="14"/>
      <c r="L11" s="16"/>
      <c r="P11" s="2"/>
      <c r="Q11" s="2"/>
      <c r="R11" s="2"/>
      <c r="V11" s="19"/>
      <c r="W11" s="19"/>
      <c r="X11" s="19"/>
      <c r="AB11" s="19"/>
      <c r="AC11" s="19"/>
      <c r="AD11" s="19"/>
      <c r="AH11" s="20"/>
      <c r="AI11" s="20"/>
      <c r="AJ11" s="20"/>
    </row>
    <row r="12" spans="4:36" ht="14.45" customHeight="1">
      <c r="D12" s="9"/>
      <c r="E12" t="s">
        <v>15</v>
      </c>
      <c r="I12" t="s">
        <v>29</v>
      </c>
      <c r="J12" s="13">
        <v>236</v>
      </c>
      <c r="K12" s="6">
        <v>129</v>
      </c>
      <c r="L12" s="15">
        <v>130</v>
      </c>
      <c r="O12" t="s">
        <v>0</v>
      </c>
      <c r="P12" s="2">
        <f t="shared" ref="P12" si="4">J12/$P$3</f>
        <v>42.909090909090907</v>
      </c>
      <c r="Q12" s="2">
        <f t="shared" ref="Q12:Q14" si="5">K12/$P$3</f>
        <v>23.454545454545453</v>
      </c>
      <c r="R12" s="2">
        <f t="shared" ref="R12" si="6">L12/$P$3</f>
        <v>23.636363636363637</v>
      </c>
      <c r="U12" t="s">
        <v>0</v>
      </c>
      <c r="V12" s="19">
        <f t="shared" ref="V12:V27" si="7">P12*$V$3</f>
        <v>214.54545454545453</v>
      </c>
      <c r="W12" s="19">
        <f t="shared" ref="W12:W24" si="8">Q12*$V$3</f>
        <v>117.27272727272727</v>
      </c>
      <c r="X12" s="19">
        <f t="shared" ref="X12:X20" si="9">R12*$V$3</f>
        <v>118.18181818181819</v>
      </c>
      <c r="AA12" t="s">
        <v>0</v>
      </c>
      <c r="AB12" s="19">
        <f t="shared" ref="AB12:AB23" si="10">V12/$AC$3</f>
        <v>3.5757575757575759E-2</v>
      </c>
      <c r="AC12" s="19">
        <f t="shared" ref="AC12:AC23" si="11">W12/$AC$3</f>
        <v>1.9545454545454543E-2</v>
      </c>
      <c r="AD12" s="19">
        <f t="shared" ref="AD12:AD23" si="12">X12/$AC$3</f>
        <v>1.9696969696969699E-2</v>
      </c>
      <c r="AG12" t="s">
        <v>0</v>
      </c>
      <c r="AH12" s="20">
        <f t="shared" ref="AH12:AH23" si="13">AB12*$AH$3*$AH$4</f>
        <v>121575.75757575757</v>
      </c>
      <c r="AI12" s="20">
        <f t="shared" ref="AI12:AI23" si="14">AC12*$AH$3*$AH$4</f>
        <v>66454.545454545456</v>
      </c>
      <c r="AJ12" s="20">
        <f t="shared" ref="AJ12" si="15">AD12*$AH$3*$AH$4</f>
        <v>66969.696969696975</v>
      </c>
    </row>
    <row r="13" spans="4:36" ht="14.45" customHeight="1">
      <c r="D13" s="10" t="s">
        <v>30</v>
      </c>
      <c r="E13" t="s">
        <v>9</v>
      </c>
      <c r="J13" s="17"/>
      <c r="L13" s="16"/>
      <c r="P13" s="2"/>
      <c r="Q13" s="2"/>
      <c r="R13" s="2"/>
      <c r="V13" s="2"/>
      <c r="W13" s="2"/>
      <c r="X13" s="2"/>
      <c r="AB13" s="1"/>
      <c r="AC13" s="1"/>
      <c r="AD13" s="1"/>
      <c r="AH13" s="4"/>
      <c r="AI13" s="4"/>
      <c r="AJ13" s="4"/>
    </row>
    <row r="14" spans="4:36" ht="14.45" customHeight="1">
      <c r="D14" s="9"/>
      <c r="E14" t="s">
        <v>15</v>
      </c>
      <c r="I14" t="s">
        <v>31</v>
      </c>
      <c r="J14" s="13">
        <v>227</v>
      </c>
      <c r="K14" s="6">
        <v>127</v>
      </c>
      <c r="L14" s="15">
        <v>68</v>
      </c>
      <c r="O14" t="s">
        <v>17</v>
      </c>
      <c r="P14" s="2">
        <f>J14/$P$3</f>
        <v>41.272727272727273</v>
      </c>
      <c r="Q14" s="2">
        <f>K14/$P$3</f>
        <v>23.09090909090909</v>
      </c>
      <c r="R14" s="2">
        <f>L14/$P$3</f>
        <v>12.363636363636363</v>
      </c>
      <c r="U14" t="s">
        <v>17</v>
      </c>
      <c r="V14" s="19">
        <f t="shared" si="7"/>
        <v>206.36363636363637</v>
      </c>
      <c r="W14" s="19">
        <f t="shared" si="8"/>
        <v>115.45454545454545</v>
      </c>
      <c r="X14" s="19">
        <f t="shared" si="9"/>
        <v>61.818181818181813</v>
      </c>
      <c r="AA14" t="s">
        <v>17</v>
      </c>
      <c r="AB14" s="19">
        <f t="shared" si="10"/>
        <v>3.4393939393939393E-2</v>
      </c>
      <c r="AC14" s="19">
        <f t="shared" si="11"/>
        <v>1.9242424242424241E-2</v>
      </c>
      <c r="AD14" s="19">
        <f t="shared" si="12"/>
        <v>1.0303030303030302E-2</v>
      </c>
      <c r="AG14" t="s">
        <v>17</v>
      </c>
      <c r="AH14" s="20">
        <f t="shared" si="13"/>
        <v>116939.39393939394</v>
      </c>
      <c r="AI14" s="20">
        <f t="shared" si="14"/>
        <v>65424.242424242417</v>
      </c>
      <c r="AJ14" s="20">
        <f>AD14*$AH$3*$AH$4</f>
        <v>35030.303030303025</v>
      </c>
    </row>
    <row r="15" spans="4:36">
      <c r="D15" s="10" t="s">
        <v>32</v>
      </c>
      <c r="E15" t="s">
        <v>9</v>
      </c>
      <c r="J15" s="14"/>
      <c r="L15" s="16"/>
      <c r="O15" t="s">
        <v>22</v>
      </c>
      <c r="P15" s="2">
        <f>J16/$P$3</f>
        <v>44.363636363636367</v>
      </c>
      <c r="Q15" s="2">
        <f>K16/$P$3</f>
        <v>25.09090909090909</v>
      </c>
      <c r="R15" s="2">
        <f>L16/$P$3</f>
        <v>34</v>
      </c>
      <c r="U15" t="s">
        <v>22</v>
      </c>
      <c r="V15" s="19">
        <f t="shared" si="7"/>
        <v>221.81818181818184</v>
      </c>
      <c r="W15" s="19">
        <f t="shared" si="8"/>
        <v>125.45454545454545</v>
      </c>
      <c r="X15" s="19">
        <f t="shared" si="9"/>
        <v>170</v>
      </c>
      <c r="AA15" t="s">
        <v>22</v>
      </c>
      <c r="AB15" s="19">
        <f t="shared" si="10"/>
        <v>3.6969696969696972E-2</v>
      </c>
      <c r="AC15" s="19">
        <f t="shared" si="11"/>
        <v>2.0909090909090908E-2</v>
      </c>
      <c r="AD15" s="19">
        <f t="shared" si="12"/>
        <v>2.8333333333333332E-2</v>
      </c>
      <c r="AG15" t="s">
        <v>22</v>
      </c>
      <c r="AH15" s="20">
        <f t="shared" si="13"/>
        <v>125696.96969696971</v>
      </c>
      <c r="AI15" s="20">
        <f t="shared" si="14"/>
        <v>71090.909090909088</v>
      </c>
      <c r="AJ15" s="20">
        <f>AD15*$AH$3*$AH$4</f>
        <v>96333.333333333328</v>
      </c>
    </row>
    <row r="16" spans="4:36" ht="14.45" customHeight="1">
      <c r="D16" s="9"/>
      <c r="E16" t="s">
        <v>15</v>
      </c>
      <c r="I16" t="s">
        <v>33</v>
      </c>
      <c r="J16" s="13">
        <v>244</v>
      </c>
      <c r="K16" s="6">
        <v>138</v>
      </c>
      <c r="L16" s="15">
        <v>187</v>
      </c>
      <c r="O16" t="s">
        <v>23</v>
      </c>
      <c r="P16" s="2">
        <f>J18/$P$3</f>
        <v>38.909090909090907</v>
      </c>
      <c r="Q16">
        <f>K18/$P$3</f>
        <v>19.272727272727273</v>
      </c>
      <c r="R16">
        <f>L18/$P$3</f>
        <v>28</v>
      </c>
      <c r="U16" t="s">
        <v>23</v>
      </c>
      <c r="V16" s="19">
        <f t="shared" si="7"/>
        <v>194.54545454545453</v>
      </c>
      <c r="W16" s="19">
        <f t="shared" si="8"/>
        <v>96.363636363636374</v>
      </c>
      <c r="X16" s="19">
        <f t="shared" si="9"/>
        <v>140</v>
      </c>
      <c r="AA16" t="s">
        <v>23</v>
      </c>
      <c r="AB16" s="19">
        <f t="shared" si="10"/>
        <v>3.2424242424242425E-2</v>
      </c>
      <c r="AC16" s="19">
        <f t="shared" si="11"/>
        <v>1.6060606060606063E-2</v>
      </c>
      <c r="AD16" s="19">
        <f t="shared" si="12"/>
        <v>2.3333333333333334E-2</v>
      </c>
      <c r="AG16" t="s">
        <v>23</v>
      </c>
      <c r="AH16" s="20">
        <f t="shared" si="13"/>
        <v>110242.42424242424</v>
      </c>
      <c r="AI16" s="20">
        <f t="shared" si="14"/>
        <v>54606.060606060615</v>
      </c>
      <c r="AJ16" s="20">
        <f>AD16*$AH$3*$AH$4</f>
        <v>79333.333333333343</v>
      </c>
    </row>
    <row r="17" spans="4:36" ht="14.45" customHeight="1">
      <c r="D17" s="21" t="s">
        <v>34</v>
      </c>
      <c r="E17" t="s">
        <v>9</v>
      </c>
      <c r="J17" s="14"/>
      <c r="L17" s="16"/>
      <c r="O17" t="s">
        <v>28</v>
      </c>
      <c r="P17" s="2">
        <f>J20/$P$3</f>
        <v>54.545454545454547</v>
      </c>
      <c r="Q17">
        <f>K20/$P$3</f>
        <v>23.636363636363637</v>
      </c>
      <c r="R17">
        <f>L20/$P$3</f>
        <v>21.818181818181817</v>
      </c>
      <c r="U17" t="s">
        <v>28</v>
      </c>
      <c r="V17" s="19">
        <f t="shared" si="7"/>
        <v>272.72727272727275</v>
      </c>
      <c r="W17" s="19">
        <f t="shared" si="8"/>
        <v>118.18181818181819</v>
      </c>
      <c r="X17" s="19">
        <f t="shared" si="9"/>
        <v>109.09090909090908</v>
      </c>
      <c r="AA17" t="s">
        <v>28</v>
      </c>
      <c r="AB17" s="19">
        <f t="shared" si="10"/>
        <v>4.5454545454545456E-2</v>
      </c>
      <c r="AC17" s="19">
        <f t="shared" si="11"/>
        <v>1.9696969696969699E-2</v>
      </c>
      <c r="AD17" s="19">
        <f t="shared" si="12"/>
        <v>1.8181818181818181E-2</v>
      </c>
      <c r="AG17" t="s">
        <v>28</v>
      </c>
      <c r="AH17" s="20">
        <f t="shared" si="13"/>
        <v>154545.45454545456</v>
      </c>
      <c r="AI17" s="20">
        <f t="shared" si="14"/>
        <v>66969.696969696975</v>
      </c>
      <c r="AJ17" s="20">
        <f>AD17*$AH$3*$AH$4</f>
        <v>61818.181818181816</v>
      </c>
    </row>
    <row r="18" spans="4:36">
      <c r="D18" s="22"/>
      <c r="E18" t="s">
        <v>15</v>
      </c>
      <c r="I18" t="s">
        <v>35</v>
      </c>
      <c r="J18" s="13">
        <v>214</v>
      </c>
      <c r="K18" s="6">
        <v>106</v>
      </c>
      <c r="L18" s="15">
        <v>154</v>
      </c>
      <c r="O18" t="s">
        <v>30</v>
      </c>
      <c r="P18" s="2">
        <f>J22/$P$3</f>
        <v>36.727272727272727</v>
      </c>
      <c r="Q18">
        <f>K22/$P$3</f>
        <v>25.454545454545453</v>
      </c>
      <c r="R18">
        <f>L22/$P$3</f>
        <v>12.363636363636363</v>
      </c>
      <c r="U18" t="s">
        <v>30</v>
      </c>
      <c r="V18" s="19">
        <f t="shared" si="7"/>
        <v>183.63636363636363</v>
      </c>
      <c r="W18" s="19">
        <f t="shared" si="8"/>
        <v>127.27272727272727</v>
      </c>
      <c r="X18" s="19">
        <f t="shared" si="9"/>
        <v>61.818181818181813</v>
      </c>
      <c r="AA18" t="s">
        <v>30</v>
      </c>
      <c r="AB18" s="19">
        <f t="shared" si="10"/>
        <v>3.0606060606060605E-2</v>
      </c>
      <c r="AC18" s="19">
        <f t="shared" si="11"/>
        <v>2.121212121212121E-2</v>
      </c>
      <c r="AD18" s="19">
        <f t="shared" si="12"/>
        <v>1.0303030303030302E-2</v>
      </c>
      <c r="AG18" t="s">
        <v>30</v>
      </c>
      <c r="AH18" s="20">
        <f t="shared" si="13"/>
        <v>104060.60606060606</v>
      </c>
      <c r="AI18" s="20">
        <f t="shared" si="14"/>
        <v>72121.212121212113</v>
      </c>
      <c r="AJ18" s="20">
        <f>AD18*$AH$3*$AH$4</f>
        <v>35030.303030303025</v>
      </c>
    </row>
    <row r="19" spans="4:36">
      <c r="D19" s="11"/>
      <c r="E19" t="s">
        <v>36</v>
      </c>
      <c r="J19" s="14"/>
      <c r="L19" s="16"/>
      <c r="O19" t="s">
        <v>32</v>
      </c>
      <c r="P19" s="2">
        <f>J24/$P$3</f>
        <v>40</v>
      </c>
      <c r="Q19">
        <f>K24/$P$3</f>
        <v>25.454545454545453</v>
      </c>
      <c r="R19">
        <f>L24/$P$3</f>
        <v>36.363636363636367</v>
      </c>
      <c r="U19" t="s">
        <v>32</v>
      </c>
      <c r="V19" s="19">
        <f t="shared" si="7"/>
        <v>200</v>
      </c>
      <c r="W19" s="19">
        <f t="shared" si="8"/>
        <v>127.27272727272727</v>
      </c>
      <c r="X19" s="19">
        <f t="shared" si="9"/>
        <v>181.81818181818184</v>
      </c>
      <c r="AA19" t="s">
        <v>32</v>
      </c>
      <c r="AB19" s="19">
        <f t="shared" si="10"/>
        <v>3.3333333333333333E-2</v>
      </c>
      <c r="AC19" s="19">
        <f t="shared" si="11"/>
        <v>2.121212121212121E-2</v>
      </c>
      <c r="AD19" s="19">
        <f t="shared" si="12"/>
        <v>3.0303030303030307E-2</v>
      </c>
      <c r="AG19" t="s">
        <v>32</v>
      </c>
      <c r="AH19" s="20">
        <f t="shared" si="13"/>
        <v>113333.33333333333</v>
      </c>
      <c r="AI19" s="20">
        <f t="shared" si="14"/>
        <v>72121.212121212113</v>
      </c>
      <c r="AJ19" s="20">
        <f>AD19*$AH$3*$AH$4</f>
        <v>103030.30303030304</v>
      </c>
    </row>
    <row r="20" spans="4:36">
      <c r="D20" s="12" t="s">
        <v>37</v>
      </c>
      <c r="E20" t="s">
        <v>9</v>
      </c>
      <c r="I20" t="s">
        <v>38</v>
      </c>
      <c r="J20" s="13">
        <v>300</v>
      </c>
      <c r="K20" s="6">
        <v>130</v>
      </c>
      <c r="L20" s="15">
        <v>120</v>
      </c>
      <c r="O20" t="s">
        <v>34</v>
      </c>
      <c r="P20" s="2">
        <f>J26/$P$3</f>
        <v>43.636363636363633</v>
      </c>
      <c r="Q20">
        <f>K26/$P$3</f>
        <v>43.636363636363633</v>
      </c>
      <c r="R20">
        <f>L26/$P$3</f>
        <v>43.636363636363633</v>
      </c>
      <c r="U20" t="s">
        <v>34</v>
      </c>
      <c r="V20" s="19">
        <f t="shared" si="7"/>
        <v>218.18181818181816</v>
      </c>
      <c r="W20" s="19">
        <f t="shared" si="8"/>
        <v>218.18181818181816</v>
      </c>
      <c r="X20" s="19">
        <f t="shared" si="9"/>
        <v>218.18181818181816</v>
      </c>
      <c r="AA20" t="s">
        <v>34</v>
      </c>
      <c r="AB20" s="19">
        <f t="shared" si="10"/>
        <v>3.6363636363636362E-2</v>
      </c>
      <c r="AC20" s="19">
        <f t="shared" si="11"/>
        <v>3.6363636363636362E-2</v>
      </c>
      <c r="AD20" s="19">
        <f t="shared" si="12"/>
        <v>3.6363636363636362E-2</v>
      </c>
      <c r="AG20" t="s">
        <v>34</v>
      </c>
      <c r="AH20" s="20">
        <f t="shared" si="13"/>
        <v>123636.36363636363</v>
      </c>
      <c r="AI20" s="20">
        <f t="shared" si="14"/>
        <v>123636.36363636363</v>
      </c>
      <c r="AJ20" s="20">
        <f>AD20*$AH$3*$AH$4</f>
        <v>123636.36363636363</v>
      </c>
    </row>
    <row r="21" spans="4:36">
      <c r="D21" s="11"/>
      <c r="E21" t="s">
        <v>39</v>
      </c>
      <c r="J21" s="14"/>
      <c r="L21" s="16"/>
      <c r="O21" t="s">
        <v>40</v>
      </c>
      <c r="P21" s="2">
        <f>J28/$P$3</f>
        <v>36.363636363636367</v>
      </c>
      <c r="Q21">
        <f>K28/$P$3</f>
        <v>18.181818181818183</v>
      </c>
      <c r="R21">
        <f>L28/$P$3</f>
        <v>4.5454545454545459</v>
      </c>
      <c r="U21" t="s">
        <v>40</v>
      </c>
      <c r="V21" s="19">
        <f t="shared" si="7"/>
        <v>181.81818181818184</v>
      </c>
      <c r="W21" s="19">
        <f t="shared" si="8"/>
        <v>90.909090909090921</v>
      </c>
      <c r="X21" s="19">
        <f>R21*$V$3</f>
        <v>22.72727272727273</v>
      </c>
      <c r="AA21" t="s">
        <v>40</v>
      </c>
      <c r="AB21" s="19">
        <f t="shared" si="10"/>
        <v>3.0303030303030307E-2</v>
      </c>
      <c r="AC21" s="19">
        <f t="shared" si="11"/>
        <v>1.5151515151515154E-2</v>
      </c>
      <c r="AD21" s="19">
        <f t="shared" si="12"/>
        <v>3.7878787878787884E-3</v>
      </c>
      <c r="AG21" t="s">
        <v>40</v>
      </c>
      <c r="AH21" s="20">
        <f t="shared" si="13"/>
        <v>103030.30303030304</v>
      </c>
      <c r="AI21" s="20">
        <f t="shared" si="14"/>
        <v>51515.15151515152</v>
      </c>
      <c r="AJ21" s="20">
        <f>AD21*$AH$3*$AH$4</f>
        <v>12878.78787878788</v>
      </c>
    </row>
    <row r="22" spans="4:36">
      <c r="D22" s="12" t="s">
        <v>41</v>
      </c>
      <c r="E22" t="s">
        <v>42</v>
      </c>
      <c r="I22" t="s">
        <v>43</v>
      </c>
      <c r="J22" s="13">
        <v>202</v>
      </c>
      <c r="K22" s="6">
        <v>140</v>
      </c>
      <c r="L22" s="15">
        <v>68</v>
      </c>
      <c r="O22" t="s">
        <v>44</v>
      </c>
      <c r="P22" s="2">
        <f>J30/$P$3</f>
        <v>32.727272727272727</v>
      </c>
      <c r="Q22">
        <f>28/$P$3</f>
        <v>5.0909090909090908</v>
      </c>
      <c r="R22">
        <f>L30/$P$3</f>
        <v>18.181818181818183</v>
      </c>
      <c r="U22" t="s">
        <v>44</v>
      </c>
      <c r="V22" s="19">
        <f t="shared" si="7"/>
        <v>163.63636363636363</v>
      </c>
      <c r="W22" s="19">
        <f t="shared" si="8"/>
        <v>25.454545454545453</v>
      </c>
      <c r="X22" s="19">
        <f>R22*$V$3</f>
        <v>90.909090909090921</v>
      </c>
      <c r="AA22" t="s">
        <v>44</v>
      </c>
      <c r="AB22" s="19">
        <f t="shared" si="10"/>
        <v>2.7272727272727271E-2</v>
      </c>
      <c r="AC22" s="19">
        <f t="shared" si="11"/>
        <v>4.242424242424242E-3</v>
      </c>
      <c r="AD22" s="19">
        <f t="shared" si="12"/>
        <v>1.5151515151515154E-2</v>
      </c>
      <c r="AG22" t="s">
        <v>44</v>
      </c>
      <c r="AH22" s="20">
        <f t="shared" si="13"/>
        <v>92727.272727272721</v>
      </c>
      <c r="AI22" s="20">
        <f t="shared" si="14"/>
        <v>14424.242424242424</v>
      </c>
      <c r="AJ22" s="20">
        <f>AD22*$AH$3*$AH$4</f>
        <v>51515.15151515152</v>
      </c>
    </row>
    <row r="23" spans="4:36">
      <c r="D23" s="11"/>
      <c r="E23" t="s">
        <v>45</v>
      </c>
      <c r="J23" s="14"/>
      <c r="L23" s="16"/>
      <c r="O23" t="s">
        <v>46</v>
      </c>
      <c r="P23" s="2">
        <f>J32/$P$3</f>
        <v>4.5454545454545459</v>
      </c>
      <c r="Q23">
        <f>30/$P$3</f>
        <v>5.4545454545454541</v>
      </c>
      <c r="R23">
        <f>L32/$P$3</f>
        <v>36.363636363636367</v>
      </c>
      <c r="U23" t="s">
        <v>46</v>
      </c>
      <c r="V23" s="19">
        <f t="shared" si="7"/>
        <v>22.72727272727273</v>
      </c>
      <c r="W23" s="19">
        <f t="shared" si="8"/>
        <v>27.27272727272727</v>
      </c>
      <c r="X23" s="19">
        <f>R23*$V$3</f>
        <v>181.81818181818184</v>
      </c>
      <c r="AA23" t="s">
        <v>46</v>
      </c>
      <c r="AB23" s="19">
        <f t="shared" si="10"/>
        <v>3.7878787878787884E-3</v>
      </c>
      <c r="AC23" s="19">
        <f t="shared" si="11"/>
        <v>4.5454545454545452E-3</v>
      </c>
      <c r="AD23" s="19">
        <f t="shared" si="12"/>
        <v>3.0303030303030307E-2</v>
      </c>
      <c r="AG23" t="s">
        <v>46</v>
      </c>
      <c r="AH23" s="20">
        <f t="shared" si="13"/>
        <v>12878.78787878788</v>
      </c>
      <c r="AI23" s="20">
        <f t="shared" si="14"/>
        <v>15454.545454545454</v>
      </c>
      <c r="AJ23" s="20">
        <f>AD23*$AH$3*$AH$4</f>
        <v>103030.30303030304</v>
      </c>
    </row>
    <row r="24" spans="4:36">
      <c r="D24" s="12" t="s">
        <v>46</v>
      </c>
      <c r="E24" t="s">
        <v>42</v>
      </c>
      <c r="I24" t="s">
        <v>47</v>
      </c>
      <c r="J24" s="13">
        <v>220</v>
      </c>
      <c r="K24" s="6">
        <v>140</v>
      </c>
      <c r="L24" s="15">
        <v>200</v>
      </c>
      <c r="P24" s="2"/>
      <c r="U24" s="5"/>
      <c r="V24" s="2"/>
      <c r="W24" s="2"/>
    </row>
    <row r="25" spans="4:36">
      <c r="J25" s="14"/>
      <c r="L25" s="16"/>
      <c r="P25" s="2"/>
      <c r="V25" s="2"/>
    </row>
    <row r="26" spans="4:36">
      <c r="I26" t="s">
        <v>48</v>
      </c>
      <c r="J26" s="13">
        <v>240</v>
      </c>
      <c r="K26" s="6">
        <v>240</v>
      </c>
      <c r="L26" s="15">
        <v>240</v>
      </c>
      <c r="P26" s="2"/>
      <c r="V26" s="2"/>
    </row>
    <row r="27" spans="4:36">
      <c r="J27" s="14"/>
      <c r="L27" s="16"/>
      <c r="P27" s="2"/>
      <c r="U27" s="5"/>
      <c r="V27" s="2"/>
    </row>
    <row r="28" spans="4:36">
      <c r="J28" s="13">
        <v>200</v>
      </c>
      <c r="K28" s="6">
        <v>100</v>
      </c>
      <c r="L28" s="15">
        <v>25</v>
      </c>
      <c r="N28" s="5"/>
      <c r="P28" s="2"/>
      <c r="U28" s="5"/>
      <c r="AA28" s="5"/>
    </row>
    <row r="29" spans="4:36" ht="14.45" customHeight="1">
      <c r="I29" t="s">
        <v>49</v>
      </c>
      <c r="J29" s="14"/>
      <c r="L29" s="16"/>
      <c r="P29" s="2"/>
    </row>
    <row r="30" spans="4:36">
      <c r="J30" s="13">
        <v>180</v>
      </c>
      <c r="K30" s="6">
        <v>15</v>
      </c>
      <c r="L30" s="15">
        <v>100</v>
      </c>
      <c r="P30" s="2"/>
    </row>
    <row r="31" spans="4:36">
      <c r="I31" t="s">
        <v>50</v>
      </c>
      <c r="J31" s="17"/>
      <c r="K31" s="7"/>
      <c r="L31" s="18"/>
      <c r="P31" s="2"/>
    </row>
    <row r="32" spans="4:36">
      <c r="J32" s="14">
        <v>25</v>
      </c>
      <c r="K32">
        <v>100</v>
      </c>
      <c r="L32" s="16">
        <v>200</v>
      </c>
      <c r="P32" s="2"/>
    </row>
    <row r="33" spans="9:16">
      <c r="I33" t="s">
        <v>46</v>
      </c>
      <c r="J33" s="17"/>
      <c r="K33" s="7"/>
      <c r="L33" s="18"/>
      <c r="P33" s="2"/>
    </row>
    <row r="34" spans="9:16">
      <c r="P34" s="2"/>
    </row>
    <row r="35" spans="9:16">
      <c r="P35" s="2"/>
    </row>
    <row r="36" spans="9:16">
      <c r="P36" s="2"/>
    </row>
    <row r="37" spans="9:16">
      <c r="P37" s="2"/>
    </row>
  </sheetData>
  <mergeCells count="10">
    <mergeCell ref="AG6:AJ6"/>
    <mergeCell ref="U6:X6"/>
    <mergeCell ref="AA6:AD6"/>
    <mergeCell ref="O6:R6"/>
    <mergeCell ref="I6:L6"/>
    <mergeCell ref="D17:D18"/>
    <mergeCell ref="F3:G4"/>
    <mergeCell ref="D1:D2"/>
    <mergeCell ref="D3:D4"/>
    <mergeCell ref="D5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Ortez Amador, Mario</dc:creator>
  <cp:keywords/>
  <dc:description/>
  <cp:lastModifiedBy/>
  <cp:revision/>
  <dcterms:created xsi:type="dcterms:W3CDTF">2025-07-08T14:28:24Z</dcterms:created>
  <dcterms:modified xsi:type="dcterms:W3CDTF">2025-07-09T17:12:27Z</dcterms:modified>
  <cp:category/>
  <cp:contentStatus/>
</cp:coreProperties>
</file>